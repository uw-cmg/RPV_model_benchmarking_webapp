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yanjacobs/Documents/Research Projects/RPV_hardening/RPV_codex/"/>
    </mc:Choice>
  </mc:AlternateContent>
  <xr:revisionPtr revIDLastSave="0" documentId="13_ncr:1_{AE4BD0B1-805D-1945-BD12-C29B6E7669E5}" xr6:coauthVersionLast="47" xr6:coauthVersionMax="47" xr10:uidLastSave="{00000000-0000-0000-0000-000000000000}"/>
  <bookViews>
    <workbookView xWindow="4680" yWindow="1940" windowWidth="31780" windowHeight="18120" xr2:uid="{124CF5E6-0FC9-9E4C-B438-8D603E90ABE1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D20" i="1" l="1"/>
  <c r="AB20" i="1"/>
  <c r="AD19" i="1"/>
  <c r="AB19" i="1"/>
  <c r="AD18" i="1"/>
  <c r="AB18" i="1"/>
  <c r="AD17" i="1"/>
  <c r="AB17" i="1"/>
  <c r="AD16" i="1"/>
  <c r="AB16" i="1"/>
  <c r="AD15" i="1"/>
  <c r="AB15" i="1"/>
  <c r="AD14" i="1"/>
  <c r="AB14" i="1"/>
  <c r="AD13" i="1"/>
  <c r="AB13" i="1"/>
  <c r="AD12" i="1"/>
  <c r="AB12" i="1"/>
  <c r="AD11" i="1"/>
  <c r="AB11" i="1"/>
  <c r="AD10" i="1"/>
  <c r="AB10" i="1"/>
  <c r="AD9" i="1"/>
  <c r="AB9" i="1"/>
  <c r="AD8" i="1"/>
  <c r="AB8" i="1"/>
  <c r="AD7" i="1"/>
  <c r="AB7" i="1"/>
  <c r="AD6" i="1"/>
  <c r="AB6" i="1"/>
  <c r="AD5" i="1"/>
  <c r="AB5" i="1"/>
  <c r="AD4" i="1"/>
  <c r="AB4" i="1"/>
  <c r="AD3" i="1"/>
  <c r="AB3" i="1"/>
  <c r="AD2" i="1"/>
  <c r="AB2" i="1"/>
  <c r="AC15" i="1" l="1"/>
  <c r="AE20" i="1"/>
  <c r="AE17" i="1"/>
  <c r="AC17" i="1"/>
  <c r="AE15" i="1"/>
  <c r="AE14" i="1"/>
  <c r="AC14" i="1"/>
  <c r="AE13" i="1"/>
  <c r="AC13" i="1"/>
  <c r="AE12" i="1"/>
  <c r="AC12" i="1"/>
  <c r="AE11" i="1"/>
  <c r="AC11" i="1"/>
  <c r="AE10" i="1"/>
  <c r="AC10" i="1"/>
  <c r="AE9" i="1"/>
  <c r="AC9" i="1"/>
  <c r="AE8" i="1"/>
  <c r="AC8" i="1"/>
  <c r="AE7" i="1"/>
  <c r="AC7" i="1"/>
  <c r="AE6" i="1"/>
  <c r="AC6" i="1"/>
  <c r="AE5" i="1"/>
  <c r="AC5" i="1"/>
  <c r="AE4" i="1"/>
  <c r="AE3" i="1"/>
  <c r="AC3" i="1"/>
  <c r="AE2" i="1"/>
  <c r="AC2" i="1"/>
  <c r="AE19" i="1"/>
  <c r="AC20" i="1"/>
  <c r="AC19" i="1"/>
  <c r="AE18" i="1"/>
  <c r="AC18" i="1"/>
  <c r="AE16" i="1"/>
  <c r="AC16" i="1"/>
  <c r="AC4" i="1"/>
</calcChain>
</file>

<file path=xl/sharedStrings.xml><?xml version="1.0" encoding="utf-8"?>
<sst xmlns="http://schemas.openxmlformats.org/spreadsheetml/2006/main" count="246" uniqueCount="61">
  <si>
    <t>AD1-F1</t>
  </si>
  <si>
    <t>F</t>
  </si>
  <si>
    <t>AD1-W1</t>
  </si>
  <si>
    <t>W</t>
  </si>
  <si>
    <t>temperature_C</t>
  </si>
  <si>
    <t>wt_percent_Cu</t>
  </si>
  <si>
    <t>wt_percent_Ni</t>
  </si>
  <si>
    <t>wt_percent_Mn</t>
  </si>
  <si>
    <t>wt_percent_P</t>
  </si>
  <si>
    <t>wt_percent_Si</t>
  </si>
  <si>
    <t>wt_percent_C</t>
  </si>
  <si>
    <t>log(fluence_n_cm2)</t>
  </si>
  <si>
    <t>log(flux_n_cm2_sec)</t>
  </si>
  <si>
    <t>alloy</t>
  </si>
  <si>
    <t>datatype</t>
  </si>
  <si>
    <t>Product Form</t>
  </si>
  <si>
    <t>fluence_n_cm2</t>
  </si>
  <si>
    <t>flux_n_cm2_sec</t>
  </si>
  <si>
    <t>Time</t>
  </si>
  <si>
    <t>Measured DT41J  [C]</t>
  </si>
  <si>
    <t>index</t>
  </si>
  <si>
    <t>Short Plant ID</t>
  </si>
  <si>
    <t>Matl / PF ID</t>
  </si>
  <si>
    <t>PLOTTER-15 Set Name</t>
  </si>
  <si>
    <t>Nation</t>
  </si>
  <si>
    <t>delta_sigma_y_MPa</t>
  </si>
  <si>
    <t>fluence_group</t>
  </si>
  <si>
    <t>Measured Unirradiated Value  [C]</t>
  </si>
  <si>
    <t>Un-Irradiated YS  [MPa]</t>
  </si>
  <si>
    <t>YS(u) Known?</t>
  </si>
  <si>
    <t>Unirradiated T Known?</t>
  </si>
  <si>
    <t>Reactor Type</t>
  </si>
  <si>
    <t>log(Time)</t>
  </si>
  <si>
    <t>effective_fluence</t>
  </si>
  <si>
    <t>log(effective_fluence)</t>
  </si>
  <si>
    <t>at_percent_Cu</t>
  </si>
  <si>
    <t>at_percent_Ni</t>
  </si>
  <si>
    <t>at_percent_Mn</t>
  </si>
  <si>
    <t>at_percent_P</t>
  </si>
  <si>
    <t>at_percent_Si</t>
  </si>
  <si>
    <t>at_percent_C</t>
  </si>
  <si>
    <t>Plotter</t>
  </si>
  <si>
    <t>AD1</t>
  </si>
  <si>
    <t>F1</t>
  </si>
  <si>
    <t>Brazil Surveillance</t>
  </si>
  <si>
    <t>BRAZIL</t>
  </si>
  <si>
    <t>low</t>
  </si>
  <si>
    <t>YES</t>
  </si>
  <si>
    <t>NO</t>
  </si>
  <si>
    <t>PWR</t>
  </si>
  <si>
    <t>W1</t>
  </si>
  <si>
    <t>P</t>
  </si>
  <si>
    <t>AN1</t>
  </si>
  <si>
    <t>P1</t>
  </si>
  <si>
    <t>AN1-P1</t>
  </si>
  <si>
    <t>USA Surveillance</t>
  </si>
  <si>
    <t>USA</t>
  </si>
  <si>
    <t>SRM</t>
  </si>
  <si>
    <t>SRM2</t>
  </si>
  <si>
    <t>AN1-SRM2</t>
  </si>
  <si>
    <t>AN1-W1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</si>
</sst>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b/>
      <sz val="11"/>
      <name val="Calibri"/>
      <family val="2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1" fillId="0" borderId="0" xfId="0" applyFont="1" applyAlignment="1">
      <alignment horizontal="center" vertical="top"/>
    </xf>
    <xf numFmtId="0" fontId="2" fillId="0" borderId="0" xfId="0" applyFont="1"/>
    <xf numFmtId="0" fontId="0" fillId="2" borderId="1" xfId="0" applyFill="1" applyBorder="1" applyAlignment="1">
      <alignment horizontal="center"/>
    </xf>
  </cellXfs>
  <cellStyles count="1">
    <cellStyle name="Normal" xfId="0" builtinId="0"/>
  </cellStyles>
  <dxfs count="1">
    <dxf>
      <font>
        <b/>
        <i/>
        <strike val="0"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3599B9-B4C4-5B44-8AA1-8CC599CF77DF}">
  <dimension ref="A1:AK20"/>
  <sheetViews>
    <sheetView tabSelected="1" workbookViewId="0">
      <selection activeCell="I26" sqref="I26"/>
    </sheetView>
  </sheetViews>
  <sheetFormatPr baseColWidth="10" defaultRowHeight="16" x14ac:dyDescent="0.2"/>
  <sheetData>
    <row r="1" spans="1:37" x14ac:dyDescent="0.2">
      <c r="A1" s="1" t="s">
        <v>4</v>
      </c>
      <c r="B1" s="1" t="s">
        <v>5</v>
      </c>
      <c r="C1" s="1" t="s">
        <v>6</v>
      </c>
      <c r="D1" s="1" t="s">
        <v>7</v>
      </c>
      <c r="E1" s="1" t="s">
        <v>8</v>
      </c>
      <c r="F1" s="1" t="s">
        <v>9</v>
      </c>
      <c r="G1" s="1" t="s">
        <v>10</v>
      </c>
      <c r="H1" s="1" t="s">
        <v>11</v>
      </c>
      <c r="I1" s="1" t="s">
        <v>12</v>
      </c>
      <c r="J1" s="1" t="s">
        <v>15</v>
      </c>
      <c r="K1" s="1" t="s">
        <v>19</v>
      </c>
      <c r="L1" s="1" t="s">
        <v>20</v>
      </c>
      <c r="M1" s="1" t="s">
        <v>14</v>
      </c>
      <c r="N1" s="1" t="s">
        <v>21</v>
      </c>
      <c r="O1" s="1" t="s">
        <v>22</v>
      </c>
      <c r="P1" s="1" t="s">
        <v>13</v>
      </c>
      <c r="Q1" s="1" t="s">
        <v>23</v>
      </c>
      <c r="R1" s="1" t="s">
        <v>24</v>
      </c>
      <c r="S1" s="1" t="s">
        <v>16</v>
      </c>
      <c r="T1" s="1" t="s">
        <v>17</v>
      </c>
      <c r="U1" s="1" t="s">
        <v>25</v>
      </c>
      <c r="V1" s="1" t="s">
        <v>26</v>
      </c>
      <c r="W1" s="1" t="s">
        <v>27</v>
      </c>
      <c r="X1" s="1" t="s">
        <v>28</v>
      </c>
      <c r="Y1" s="1" t="s">
        <v>29</v>
      </c>
      <c r="Z1" s="1" t="s">
        <v>30</v>
      </c>
      <c r="AA1" s="2" t="s">
        <v>31</v>
      </c>
      <c r="AB1" s="2" t="s">
        <v>18</v>
      </c>
      <c r="AC1" s="2" t="s">
        <v>32</v>
      </c>
      <c r="AD1" s="2" t="s">
        <v>33</v>
      </c>
      <c r="AE1" s="3" t="s">
        <v>34</v>
      </c>
      <c r="AF1" s="4" t="s">
        <v>35</v>
      </c>
      <c r="AG1" s="4" t="s">
        <v>36</v>
      </c>
      <c r="AH1" s="4" t="s">
        <v>37</v>
      </c>
      <c r="AI1" s="4" t="s">
        <v>38</v>
      </c>
      <c r="AJ1" s="4" t="s">
        <v>39</v>
      </c>
      <c r="AK1" s="4" t="s">
        <v>40</v>
      </c>
    </row>
    <row r="2" spans="1:37" x14ac:dyDescent="0.2">
      <c r="A2">
        <v>287</v>
      </c>
      <c r="B2">
        <v>0.04</v>
      </c>
      <c r="C2">
        <v>0.74</v>
      </c>
      <c r="D2">
        <v>0.6</v>
      </c>
      <c r="E2">
        <v>1.2E-2</v>
      </c>
      <c r="F2">
        <v>0.23</v>
      </c>
      <c r="G2">
        <v>0.21</v>
      </c>
      <c r="H2">
        <v>18.664547962246552</v>
      </c>
      <c r="I2">
        <v>11.16574135531118</v>
      </c>
      <c r="J2" t="s">
        <v>1</v>
      </c>
      <c r="K2">
        <v>24.888888888888889</v>
      </c>
      <c r="L2">
        <v>1</v>
      </c>
      <c r="M2" t="s">
        <v>41</v>
      </c>
      <c r="N2" t="s">
        <v>42</v>
      </c>
      <c r="O2" t="s">
        <v>43</v>
      </c>
      <c r="P2" t="s">
        <v>0</v>
      </c>
      <c r="Q2" t="s">
        <v>44</v>
      </c>
      <c r="R2" t="s">
        <v>45</v>
      </c>
      <c r="S2">
        <v>4.619E+18</v>
      </c>
      <c r="T2">
        <v>146467529173.00861</v>
      </c>
      <c r="V2" t="s">
        <v>46</v>
      </c>
      <c r="X2">
        <v>515.90049999999997</v>
      </c>
      <c r="Y2" t="s">
        <v>47</v>
      </c>
      <c r="Z2" t="s">
        <v>48</v>
      </c>
      <c r="AA2" s="5" t="s">
        <v>49</v>
      </c>
      <c r="AB2">
        <f>S2/T2</f>
        <v>31536000.000000004</v>
      </c>
      <c r="AC2">
        <f>LOG10(AB2)</f>
        <v>7.4988066069353678</v>
      </c>
      <c r="AD2">
        <f>S2*(3*10^10/T2)^0.2</f>
        <v>3.3637517919302216E+18</v>
      </c>
      <c r="AE2">
        <f>LOG10(AD2)</f>
        <v>18.526823942128242</v>
      </c>
      <c r="AF2">
        <v>3.4813916649097165E-2</v>
      </c>
      <c r="AG2">
        <v>0.69731101198772039</v>
      </c>
      <c r="AH2">
        <v>0.60403140286783141</v>
      </c>
      <c r="AI2">
        <v>2.1427182288857056E-2</v>
      </c>
      <c r="AJ2">
        <v>0.45293358011234774</v>
      </c>
      <c r="AK2">
        <v>0.96698834599646355</v>
      </c>
    </row>
    <row r="3" spans="1:37" x14ac:dyDescent="0.2">
      <c r="A3">
        <v>287</v>
      </c>
      <c r="B3">
        <v>0.04</v>
      </c>
      <c r="C3">
        <v>0.74</v>
      </c>
      <c r="D3">
        <v>0.6</v>
      </c>
      <c r="E3">
        <v>1.2E-2</v>
      </c>
      <c r="F3">
        <v>0.23</v>
      </c>
      <c r="G3">
        <v>0.21</v>
      </c>
      <c r="H3">
        <v>18.664547962246552</v>
      </c>
      <c r="I3">
        <v>11.16574135531118</v>
      </c>
      <c r="J3" t="s">
        <v>1</v>
      </c>
      <c r="K3">
        <v>19.277777777777779</v>
      </c>
      <c r="L3">
        <v>2</v>
      </c>
      <c r="M3" t="s">
        <v>41</v>
      </c>
      <c r="N3" t="s">
        <v>42</v>
      </c>
      <c r="O3" t="s">
        <v>43</v>
      </c>
      <c r="P3" t="s">
        <v>0</v>
      </c>
      <c r="Q3" t="s">
        <v>44</v>
      </c>
      <c r="R3" t="s">
        <v>45</v>
      </c>
      <c r="S3">
        <v>4.619E+18</v>
      </c>
      <c r="T3">
        <v>146467529173.00861</v>
      </c>
      <c r="V3" t="s">
        <v>46</v>
      </c>
      <c r="X3">
        <v>517.45150000000001</v>
      </c>
      <c r="Y3" t="s">
        <v>47</v>
      </c>
      <c r="Z3" t="s">
        <v>48</v>
      </c>
      <c r="AA3" s="5" t="s">
        <v>49</v>
      </c>
      <c r="AB3">
        <f t="shared" ref="AB3:AB20" si="0">S3/T3</f>
        <v>31536000.000000004</v>
      </c>
      <c r="AC3">
        <f t="shared" ref="AC3:AC20" si="1">LOG10(AB3)</f>
        <v>7.4988066069353678</v>
      </c>
      <c r="AD3">
        <f t="shared" ref="AD3:AD20" si="2">S3*(3*10^10/T3)^0.2</f>
        <v>3.3637517919302216E+18</v>
      </c>
      <c r="AE3">
        <f t="shared" ref="AE3:AE20" si="3">LOG10(AD3)</f>
        <v>18.526823942128242</v>
      </c>
      <c r="AF3">
        <v>3.4813916649097165E-2</v>
      </c>
      <c r="AG3">
        <v>0.69731101198772039</v>
      </c>
      <c r="AH3">
        <v>0.60403140286783141</v>
      </c>
      <c r="AI3">
        <v>2.1427182288857056E-2</v>
      </c>
      <c r="AJ3">
        <v>0.45293358011234774</v>
      </c>
      <c r="AK3">
        <v>0.96698834599646355</v>
      </c>
    </row>
    <row r="4" spans="1:37" x14ac:dyDescent="0.2">
      <c r="A4">
        <v>287</v>
      </c>
      <c r="B4">
        <v>0.04</v>
      </c>
      <c r="C4">
        <v>0.74</v>
      </c>
      <c r="D4">
        <v>0.6</v>
      </c>
      <c r="E4">
        <v>1.2E-2</v>
      </c>
      <c r="F4">
        <v>0.23</v>
      </c>
      <c r="G4">
        <v>0.21</v>
      </c>
      <c r="H4">
        <v>19.641969597702062</v>
      </c>
      <c r="I4">
        <v>11.16089175772712</v>
      </c>
      <c r="J4" t="s">
        <v>1</v>
      </c>
      <c r="K4">
        <v>38.611111111111107</v>
      </c>
      <c r="L4">
        <v>3</v>
      </c>
      <c r="M4" t="s">
        <v>41</v>
      </c>
      <c r="N4" t="s">
        <v>42</v>
      </c>
      <c r="O4" t="s">
        <v>43</v>
      </c>
      <c r="P4" t="s">
        <v>0</v>
      </c>
      <c r="Q4" t="s">
        <v>44</v>
      </c>
      <c r="R4" t="s">
        <v>45</v>
      </c>
      <c r="S4">
        <v>4.385E+19</v>
      </c>
      <c r="T4">
        <v>144841081092.508</v>
      </c>
      <c r="V4" t="s">
        <v>46</v>
      </c>
      <c r="X4">
        <v>515.90049999999997</v>
      </c>
      <c r="Y4" t="s">
        <v>47</v>
      </c>
      <c r="Z4" t="s">
        <v>48</v>
      </c>
      <c r="AA4" s="5" t="s">
        <v>49</v>
      </c>
      <c r="AB4">
        <f t="shared" si="0"/>
        <v>302745600.00000006</v>
      </c>
      <c r="AC4">
        <f t="shared" si="1"/>
        <v>8.4810778399749367</v>
      </c>
      <c r="AD4">
        <f t="shared" si="2"/>
        <v>3.2004827966335721E+19</v>
      </c>
      <c r="AE4">
        <f t="shared" si="3"/>
        <v>19.505215497100568</v>
      </c>
      <c r="AF4">
        <v>3.4813916649097165E-2</v>
      </c>
      <c r="AG4">
        <v>0.69731101198772039</v>
      </c>
      <c r="AH4">
        <v>0.60403140286783141</v>
      </c>
      <c r="AI4">
        <v>2.1427182288857056E-2</v>
      </c>
      <c r="AJ4">
        <v>0.45293358011234774</v>
      </c>
      <c r="AK4">
        <v>0.96698834599646355</v>
      </c>
    </row>
    <row r="5" spans="1:37" x14ac:dyDescent="0.2">
      <c r="A5">
        <v>287</v>
      </c>
      <c r="B5">
        <v>0.04</v>
      </c>
      <c r="C5">
        <v>0.74</v>
      </c>
      <c r="D5">
        <v>0.6</v>
      </c>
      <c r="E5">
        <v>1.2E-2</v>
      </c>
      <c r="F5">
        <v>0.23</v>
      </c>
      <c r="G5">
        <v>0.21</v>
      </c>
      <c r="H5">
        <v>19.641969597702062</v>
      </c>
      <c r="I5">
        <v>11.16089175772712</v>
      </c>
      <c r="J5" t="s">
        <v>1</v>
      </c>
      <c r="K5">
        <v>12.83333333333333</v>
      </c>
      <c r="L5">
        <v>4</v>
      </c>
      <c r="M5" t="s">
        <v>41</v>
      </c>
      <c r="N5" t="s">
        <v>42</v>
      </c>
      <c r="O5" t="s">
        <v>43</v>
      </c>
      <c r="P5" t="s">
        <v>0</v>
      </c>
      <c r="Q5" t="s">
        <v>44</v>
      </c>
      <c r="R5" t="s">
        <v>45</v>
      </c>
      <c r="S5">
        <v>4.385E+19</v>
      </c>
      <c r="T5">
        <v>144841081092.508</v>
      </c>
      <c r="V5" t="s">
        <v>46</v>
      </c>
      <c r="X5">
        <v>517.45150000000001</v>
      </c>
      <c r="Y5" t="s">
        <v>47</v>
      </c>
      <c r="Z5" t="s">
        <v>48</v>
      </c>
      <c r="AA5" s="5" t="s">
        <v>49</v>
      </c>
      <c r="AB5">
        <f t="shared" si="0"/>
        <v>302745600.00000006</v>
      </c>
      <c r="AC5">
        <f t="shared" si="1"/>
        <v>8.4810778399749367</v>
      </c>
      <c r="AD5">
        <f t="shared" si="2"/>
        <v>3.2004827966335721E+19</v>
      </c>
      <c r="AE5">
        <f t="shared" si="3"/>
        <v>19.505215497100568</v>
      </c>
      <c r="AF5">
        <v>3.4813916649097165E-2</v>
      </c>
      <c r="AG5">
        <v>0.69731101198772039</v>
      </c>
      <c r="AH5">
        <v>0.60403140286783141</v>
      </c>
      <c r="AI5">
        <v>2.1427182288857056E-2</v>
      </c>
      <c r="AJ5">
        <v>0.45293358011234774</v>
      </c>
      <c r="AK5">
        <v>0.96698834599646355</v>
      </c>
    </row>
    <row r="6" spans="1:37" x14ac:dyDescent="0.2">
      <c r="A6">
        <v>287</v>
      </c>
      <c r="B6">
        <v>0.03</v>
      </c>
      <c r="C6">
        <v>0.56000000000000005</v>
      </c>
      <c r="D6">
        <v>1.4</v>
      </c>
      <c r="E6">
        <v>5.0000000000000001E-3</v>
      </c>
      <c r="F6">
        <v>0.31</v>
      </c>
      <c r="G6">
        <v>0.13</v>
      </c>
      <c r="H6">
        <v>18.664547962246552</v>
      </c>
      <c r="I6">
        <v>11.16574135531118</v>
      </c>
      <c r="J6" t="s">
        <v>3</v>
      </c>
      <c r="K6">
        <v>4.3888888888888893</v>
      </c>
      <c r="L6">
        <v>5</v>
      </c>
      <c r="M6" t="s">
        <v>41</v>
      </c>
      <c r="N6" t="s">
        <v>42</v>
      </c>
      <c r="O6" t="s">
        <v>50</v>
      </c>
      <c r="P6" t="s">
        <v>2</v>
      </c>
      <c r="Q6" t="s">
        <v>44</v>
      </c>
      <c r="R6" t="s">
        <v>45</v>
      </c>
      <c r="S6">
        <v>4.619E+18</v>
      </c>
      <c r="T6">
        <v>146467529173.00861</v>
      </c>
      <c r="V6" t="s">
        <v>46</v>
      </c>
      <c r="X6">
        <v>516.245</v>
      </c>
      <c r="Y6" t="s">
        <v>47</v>
      </c>
      <c r="Z6" t="s">
        <v>48</v>
      </c>
      <c r="AA6" s="5" t="s">
        <v>49</v>
      </c>
      <c r="AB6">
        <f t="shared" si="0"/>
        <v>31536000.000000004</v>
      </c>
      <c r="AC6">
        <f t="shared" si="1"/>
        <v>7.4988066069353678</v>
      </c>
      <c r="AD6">
        <f t="shared" si="2"/>
        <v>3.3637517919302216E+18</v>
      </c>
      <c r="AE6">
        <f t="shared" si="3"/>
        <v>18.526823942128242</v>
      </c>
      <c r="AF6">
        <v>2.6161051340455065E-2</v>
      </c>
      <c r="AG6">
        <v>0.52871773144390444</v>
      </c>
      <c r="AH6">
        <v>1.4121386750353613</v>
      </c>
      <c r="AI6">
        <v>8.9452991136682244E-3</v>
      </c>
      <c r="AJ6">
        <v>0.61165907332380609</v>
      </c>
      <c r="AK6">
        <v>0.5997722140883982</v>
      </c>
    </row>
    <row r="7" spans="1:37" x14ac:dyDescent="0.2">
      <c r="A7">
        <v>287</v>
      </c>
      <c r="B7">
        <v>0.03</v>
      </c>
      <c r="C7">
        <v>0.56000000000000005</v>
      </c>
      <c r="D7">
        <v>1.4</v>
      </c>
      <c r="E7">
        <v>5.0000000000000001E-3</v>
      </c>
      <c r="F7">
        <v>0.31</v>
      </c>
      <c r="G7">
        <v>0.13</v>
      </c>
      <c r="H7">
        <v>19.641969597702062</v>
      </c>
      <c r="I7">
        <v>11.16089175772712</v>
      </c>
      <c r="J7" t="s">
        <v>3</v>
      </c>
      <c r="K7">
        <v>14.66666666666667</v>
      </c>
      <c r="L7">
        <v>6</v>
      </c>
      <c r="M7" t="s">
        <v>41</v>
      </c>
      <c r="N7" t="s">
        <v>42</v>
      </c>
      <c r="O7" t="s">
        <v>50</v>
      </c>
      <c r="P7" t="s">
        <v>2</v>
      </c>
      <c r="Q7" t="s">
        <v>44</v>
      </c>
      <c r="R7" t="s">
        <v>45</v>
      </c>
      <c r="S7">
        <v>4.385E+19</v>
      </c>
      <c r="T7">
        <v>144841081092.508</v>
      </c>
      <c r="V7" t="s">
        <v>46</v>
      </c>
      <c r="X7">
        <v>516.245</v>
      </c>
      <c r="Y7" t="s">
        <v>47</v>
      </c>
      <c r="Z7" t="s">
        <v>48</v>
      </c>
      <c r="AA7" s="5" t="s">
        <v>49</v>
      </c>
      <c r="AB7">
        <f t="shared" si="0"/>
        <v>302745600.00000006</v>
      </c>
      <c r="AC7">
        <f t="shared" si="1"/>
        <v>8.4810778399749367</v>
      </c>
      <c r="AD7">
        <f t="shared" si="2"/>
        <v>3.2004827966335721E+19</v>
      </c>
      <c r="AE7">
        <f t="shared" si="3"/>
        <v>19.505215497100568</v>
      </c>
      <c r="AF7">
        <v>2.6161051340455065E-2</v>
      </c>
      <c r="AG7">
        <v>0.52871773144390444</v>
      </c>
      <c r="AH7">
        <v>1.4121386750353613</v>
      </c>
      <c r="AI7">
        <v>8.9452991136682244E-3</v>
      </c>
      <c r="AJ7">
        <v>0.61165907332380609</v>
      </c>
      <c r="AK7">
        <v>0.5997722140883982</v>
      </c>
    </row>
    <row r="8" spans="1:37" x14ac:dyDescent="0.2">
      <c r="A8">
        <v>291.11111111111109</v>
      </c>
      <c r="B8">
        <v>0.15</v>
      </c>
      <c r="C8">
        <v>0.52</v>
      </c>
      <c r="D8">
        <v>1.32</v>
      </c>
      <c r="E8">
        <v>0.01</v>
      </c>
      <c r="F8">
        <v>0.2</v>
      </c>
      <c r="G8">
        <v>0.21</v>
      </c>
      <c r="H8">
        <v>17.86153441085904</v>
      </c>
      <c r="I8">
        <v>10.389599950323969</v>
      </c>
      <c r="J8" t="s">
        <v>51</v>
      </c>
      <c r="K8">
        <v>10</v>
      </c>
      <c r="L8">
        <v>7</v>
      </c>
      <c r="M8" t="s">
        <v>41</v>
      </c>
      <c r="N8" t="s">
        <v>52</v>
      </c>
      <c r="O8" t="s">
        <v>53</v>
      </c>
      <c r="P8" t="s">
        <v>54</v>
      </c>
      <c r="Q8" t="s">
        <v>55</v>
      </c>
      <c r="R8" t="s">
        <v>56</v>
      </c>
      <c r="S8">
        <v>7.27E+17</v>
      </c>
      <c r="T8">
        <v>24524488055.528568</v>
      </c>
      <c r="V8" t="s">
        <v>46</v>
      </c>
      <c r="X8">
        <v>496</v>
      </c>
      <c r="Y8" t="s">
        <v>47</v>
      </c>
      <c r="Z8" t="s">
        <v>48</v>
      </c>
      <c r="AA8" s="5" t="s">
        <v>49</v>
      </c>
      <c r="AB8">
        <f t="shared" si="0"/>
        <v>29643840</v>
      </c>
      <c r="AC8">
        <f t="shared" si="1"/>
        <v>7.471934460535067</v>
      </c>
      <c r="AD8">
        <f t="shared" si="2"/>
        <v>7.5690029018233062E+17</v>
      </c>
      <c r="AE8">
        <f t="shared" si="3"/>
        <v>17.879038671738176</v>
      </c>
      <c r="AF8">
        <v>0.13058067387720962</v>
      </c>
      <c r="AG8">
        <v>0.49010925109122672</v>
      </c>
      <c r="AH8">
        <v>1.3291590450939283</v>
      </c>
      <c r="AI8">
        <v>1.7859881410647992E-2</v>
      </c>
      <c r="AJ8">
        <v>0.39394122614449772</v>
      </c>
      <c r="AK8">
        <v>0.96719934252615347</v>
      </c>
    </row>
    <row r="9" spans="1:37" x14ac:dyDescent="0.2">
      <c r="A9">
        <v>291.11111111111109</v>
      </c>
      <c r="B9">
        <v>0.15</v>
      </c>
      <c r="C9">
        <v>0.52</v>
      </c>
      <c r="D9">
        <v>1.32</v>
      </c>
      <c r="E9">
        <v>0.01</v>
      </c>
      <c r="F9">
        <v>0.2</v>
      </c>
      <c r="G9">
        <v>0.21</v>
      </c>
      <c r="H9">
        <v>17.86153441085904</v>
      </c>
      <c r="I9">
        <v>10.389599950323969</v>
      </c>
      <c r="J9" t="s">
        <v>51</v>
      </c>
      <c r="K9">
        <v>24.444444444444439</v>
      </c>
      <c r="L9">
        <v>8</v>
      </c>
      <c r="M9" t="s">
        <v>41</v>
      </c>
      <c r="N9" t="s">
        <v>52</v>
      </c>
      <c r="O9" t="s">
        <v>53</v>
      </c>
      <c r="P9" t="s">
        <v>54</v>
      </c>
      <c r="Q9" t="s">
        <v>55</v>
      </c>
      <c r="R9" t="s">
        <v>56</v>
      </c>
      <c r="S9">
        <v>7.27E+17</v>
      </c>
      <c r="T9">
        <v>24524488055.528568</v>
      </c>
      <c r="V9" t="s">
        <v>46</v>
      </c>
      <c r="X9">
        <v>495</v>
      </c>
      <c r="Y9" t="s">
        <v>47</v>
      </c>
      <c r="Z9" t="s">
        <v>48</v>
      </c>
      <c r="AA9" s="5" t="s">
        <v>49</v>
      </c>
      <c r="AB9">
        <f t="shared" si="0"/>
        <v>29643840</v>
      </c>
      <c r="AC9">
        <f t="shared" si="1"/>
        <v>7.471934460535067</v>
      </c>
      <c r="AD9">
        <f t="shared" si="2"/>
        <v>7.5690029018233062E+17</v>
      </c>
      <c r="AE9">
        <f t="shared" si="3"/>
        <v>17.879038671738176</v>
      </c>
      <c r="AF9">
        <v>0.13058067387720962</v>
      </c>
      <c r="AG9">
        <v>0.49010925109122672</v>
      </c>
      <c r="AH9">
        <v>1.3291590450939283</v>
      </c>
      <c r="AI9">
        <v>1.7859881410647992E-2</v>
      </c>
      <c r="AJ9">
        <v>0.39394122614449772</v>
      </c>
      <c r="AK9">
        <v>0.96719934252615347</v>
      </c>
    </row>
    <row r="10" spans="1:37" x14ac:dyDescent="0.2">
      <c r="A10">
        <v>292.22222222222217</v>
      </c>
      <c r="B10">
        <v>0.15</v>
      </c>
      <c r="C10">
        <v>0.52</v>
      </c>
      <c r="D10">
        <v>1.32</v>
      </c>
      <c r="E10">
        <v>0.01</v>
      </c>
      <c r="F10">
        <v>0.2</v>
      </c>
      <c r="G10">
        <v>0.21</v>
      </c>
      <c r="H10">
        <v>19.012837224705169</v>
      </c>
      <c r="I10">
        <v>10.96625591238198</v>
      </c>
      <c r="J10" t="s">
        <v>51</v>
      </c>
      <c r="K10">
        <v>26.111111111111111</v>
      </c>
      <c r="L10">
        <v>9</v>
      </c>
      <c r="M10" t="s">
        <v>41</v>
      </c>
      <c r="N10" t="s">
        <v>52</v>
      </c>
      <c r="O10" t="s">
        <v>53</v>
      </c>
      <c r="P10" t="s">
        <v>54</v>
      </c>
      <c r="Q10" t="s">
        <v>55</v>
      </c>
      <c r="R10" t="s">
        <v>56</v>
      </c>
      <c r="S10">
        <v>1.03E+19</v>
      </c>
      <c r="T10">
        <v>92524322218.916504</v>
      </c>
      <c r="V10" t="s">
        <v>46</v>
      </c>
      <c r="X10">
        <v>496</v>
      </c>
      <c r="Y10" t="s">
        <v>47</v>
      </c>
      <c r="Z10" t="s">
        <v>48</v>
      </c>
      <c r="AA10" s="5" t="s">
        <v>49</v>
      </c>
      <c r="AB10">
        <f t="shared" si="0"/>
        <v>111322080</v>
      </c>
      <c r="AC10">
        <f t="shared" si="1"/>
        <v>8.0465813123231911</v>
      </c>
      <c r="AD10">
        <f t="shared" si="2"/>
        <v>8.2226213807380009E+18</v>
      </c>
      <c r="AE10">
        <f t="shared" si="3"/>
        <v>18.91501029317271</v>
      </c>
      <c r="AF10">
        <v>0.13058067387720962</v>
      </c>
      <c r="AG10">
        <v>0.49010925109122672</v>
      </c>
      <c r="AH10">
        <v>1.3291590450939283</v>
      </c>
      <c r="AI10">
        <v>1.7859881410647992E-2</v>
      </c>
      <c r="AJ10">
        <v>0.39394122614449772</v>
      </c>
      <c r="AK10">
        <v>0.96719934252615347</v>
      </c>
    </row>
    <row r="11" spans="1:37" x14ac:dyDescent="0.2">
      <c r="A11">
        <v>292.22222222222217</v>
      </c>
      <c r="B11">
        <v>0.15</v>
      </c>
      <c r="C11">
        <v>0.52</v>
      </c>
      <c r="D11">
        <v>1.32</v>
      </c>
      <c r="E11">
        <v>0.01</v>
      </c>
      <c r="F11">
        <v>0.2</v>
      </c>
      <c r="G11">
        <v>0.21</v>
      </c>
      <c r="H11">
        <v>19.16435285578444</v>
      </c>
      <c r="I11">
        <v>10.93719246682784</v>
      </c>
      <c r="J11" t="s">
        <v>51</v>
      </c>
      <c r="K11">
        <v>29.444444444444439</v>
      </c>
      <c r="L11">
        <v>10</v>
      </c>
      <c r="M11" t="s">
        <v>41</v>
      </c>
      <c r="N11" t="s">
        <v>52</v>
      </c>
      <c r="O11" t="s">
        <v>53</v>
      </c>
      <c r="P11" t="s">
        <v>54</v>
      </c>
      <c r="Q11" t="s">
        <v>55</v>
      </c>
      <c r="R11" t="s">
        <v>56</v>
      </c>
      <c r="S11">
        <v>1.46E+19</v>
      </c>
      <c r="T11">
        <v>86535133264.10524</v>
      </c>
      <c r="V11" t="s">
        <v>46</v>
      </c>
      <c r="X11">
        <v>496</v>
      </c>
      <c r="Y11" t="s">
        <v>47</v>
      </c>
      <c r="Z11" t="s">
        <v>48</v>
      </c>
      <c r="AA11" s="5" t="s">
        <v>49</v>
      </c>
      <c r="AB11">
        <f t="shared" si="0"/>
        <v>168717599.99999997</v>
      </c>
      <c r="AC11">
        <f t="shared" si="1"/>
        <v>8.2271603889565963</v>
      </c>
      <c r="AD11">
        <f t="shared" si="2"/>
        <v>1.181241274080871E+19</v>
      </c>
      <c r="AE11">
        <f t="shared" si="3"/>
        <v>19.072338613362803</v>
      </c>
      <c r="AF11">
        <v>0.13058067387720962</v>
      </c>
      <c r="AG11">
        <v>0.49010925109122672</v>
      </c>
      <c r="AH11">
        <v>1.3291590450939283</v>
      </c>
      <c r="AI11">
        <v>1.7859881410647992E-2</v>
      </c>
      <c r="AJ11">
        <v>0.39394122614449772</v>
      </c>
      <c r="AK11">
        <v>0.96719934252615347</v>
      </c>
    </row>
    <row r="12" spans="1:37" x14ac:dyDescent="0.2">
      <c r="A12">
        <v>292.22222222222217</v>
      </c>
      <c r="B12">
        <v>0.15</v>
      </c>
      <c r="C12">
        <v>0.52</v>
      </c>
      <c r="D12">
        <v>1.32</v>
      </c>
      <c r="E12">
        <v>0.01</v>
      </c>
      <c r="F12">
        <v>0.2</v>
      </c>
      <c r="G12">
        <v>0.21</v>
      </c>
      <c r="H12">
        <v>19.012837224705169</v>
      </c>
      <c r="I12">
        <v>10.96625591238198</v>
      </c>
      <c r="J12" t="s">
        <v>51</v>
      </c>
      <c r="K12">
        <v>39.444444444444443</v>
      </c>
      <c r="L12">
        <v>11</v>
      </c>
      <c r="M12" t="s">
        <v>41</v>
      </c>
      <c r="N12" t="s">
        <v>52</v>
      </c>
      <c r="O12" t="s">
        <v>53</v>
      </c>
      <c r="P12" t="s">
        <v>54</v>
      </c>
      <c r="Q12" t="s">
        <v>55</v>
      </c>
      <c r="R12" t="s">
        <v>56</v>
      </c>
      <c r="S12">
        <v>1.03E+19</v>
      </c>
      <c r="T12">
        <v>92524322218.916504</v>
      </c>
      <c r="V12" t="s">
        <v>46</v>
      </c>
      <c r="X12">
        <v>495</v>
      </c>
      <c r="Y12" t="s">
        <v>47</v>
      </c>
      <c r="Z12" t="s">
        <v>48</v>
      </c>
      <c r="AA12" s="5" t="s">
        <v>49</v>
      </c>
      <c r="AB12">
        <f t="shared" si="0"/>
        <v>111322080</v>
      </c>
      <c r="AC12">
        <f t="shared" si="1"/>
        <v>8.0465813123231911</v>
      </c>
      <c r="AD12">
        <f t="shared" si="2"/>
        <v>8.2226213807380009E+18</v>
      </c>
      <c r="AE12">
        <f t="shared" si="3"/>
        <v>18.91501029317271</v>
      </c>
      <c r="AF12">
        <v>0.13058067387720962</v>
      </c>
      <c r="AG12">
        <v>0.49010925109122672</v>
      </c>
      <c r="AH12">
        <v>1.3291590450939283</v>
      </c>
      <c r="AI12">
        <v>1.7859881410647992E-2</v>
      </c>
      <c r="AJ12">
        <v>0.39394122614449772</v>
      </c>
      <c r="AK12">
        <v>0.96719934252615347</v>
      </c>
    </row>
    <row r="13" spans="1:37" x14ac:dyDescent="0.2">
      <c r="A13">
        <v>292.22222222222217</v>
      </c>
      <c r="B13">
        <v>0.15</v>
      </c>
      <c r="C13">
        <v>0.52</v>
      </c>
      <c r="D13">
        <v>1.32</v>
      </c>
      <c r="E13">
        <v>0.01</v>
      </c>
      <c r="F13">
        <v>0.2</v>
      </c>
      <c r="G13">
        <v>0.21</v>
      </c>
      <c r="H13">
        <v>19.16435285578444</v>
      </c>
      <c r="I13">
        <v>10.93719246682784</v>
      </c>
      <c r="J13" t="s">
        <v>51</v>
      </c>
      <c r="K13">
        <v>24.444444444444439</v>
      </c>
      <c r="L13">
        <v>12</v>
      </c>
      <c r="M13" t="s">
        <v>41</v>
      </c>
      <c r="N13" t="s">
        <v>52</v>
      </c>
      <c r="O13" t="s">
        <v>53</v>
      </c>
      <c r="P13" t="s">
        <v>54</v>
      </c>
      <c r="Q13" t="s">
        <v>55</v>
      </c>
      <c r="R13" t="s">
        <v>56</v>
      </c>
      <c r="S13">
        <v>1.46E+19</v>
      </c>
      <c r="T13">
        <v>86535133264.10524</v>
      </c>
      <c r="V13" t="s">
        <v>46</v>
      </c>
      <c r="X13">
        <v>495</v>
      </c>
      <c r="Y13" t="s">
        <v>47</v>
      </c>
      <c r="Z13" t="s">
        <v>48</v>
      </c>
      <c r="AA13" s="5" t="s">
        <v>49</v>
      </c>
      <c r="AB13">
        <f t="shared" si="0"/>
        <v>168717599.99999997</v>
      </c>
      <c r="AC13">
        <f t="shared" si="1"/>
        <v>8.2271603889565963</v>
      </c>
      <c r="AD13">
        <f t="shared" si="2"/>
        <v>1.181241274080871E+19</v>
      </c>
      <c r="AE13">
        <f t="shared" si="3"/>
        <v>19.072338613362803</v>
      </c>
      <c r="AF13">
        <v>0.13058067387720962</v>
      </c>
      <c r="AG13">
        <v>0.49010925109122672</v>
      </c>
      <c r="AH13">
        <v>1.3291590450939283</v>
      </c>
      <c r="AI13">
        <v>1.7859881410647992E-2</v>
      </c>
      <c r="AJ13">
        <v>0.39394122614449772</v>
      </c>
      <c r="AK13">
        <v>0.96719934252615347</v>
      </c>
    </row>
    <row r="14" spans="1:37" x14ac:dyDescent="0.2">
      <c r="A14">
        <v>292.22222222222217</v>
      </c>
      <c r="B14">
        <v>0.15</v>
      </c>
      <c r="C14">
        <v>0.52</v>
      </c>
      <c r="D14">
        <v>1.32</v>
      </c>
      <c r="E14">
        <v>0.01</v>
      </c>
      <c r="F14">
        <v>0.2</v>
      </c>
      <c r="G14">
        <v>0.21</v>
      </c>
      <c r="H14">
        <v>18.63144376901317</v>
      </c>
      <c r="I14">
        <v>10.659880712760589</v>
      </c>
      <c r="J14" t="s">
        <v>51</v>
      </c>
      <c r="K14">
        <v>12.22222222222222</v>
      </c>
      <c r="L14">
        <v>13</v>
      </c>
      <c r="M14" t="s">
        <v>41</v>
      </c>
      <c r="N14" t="s">
        <v>52</v>
      </c>
      <c r="O14" t="s">
        <v>53</v>
      </c>
      <c r="P14" t="s">
        <v>54</v>
      </c>
      <c r="Q14" t="s">
        <v>55</v>
      </c>
      <c r="R14" t="s">
        <v>56</v>
      </c>
      <c r="S14">
        <v>4.28E+18</v>
      </c>
      <c r="T14">
        <v>45696265889.061417</v>
      </c>
      <c r="V14" t="s">
        <v>46</v>
      </c>
      <c r="X14">
        <v>496</v>
      </c>
      <c r="Y14" t="s">
        <v>47</v>
      </c>
      <c r="Z14" t="s">
        <v>48</v>
      </c>
      <c r="AA14" s="5" t="s">
        <v>49</v>
      </c>
      <c r="AB14">
        <f t="shared" si="0"/>
        <v>93661920.000000015</v>
      </c>
      <c r="AC14">
        <f t="shared" si="1"/>
        <v>7.9715630562525801</v>
      </c>
      <c r="AD14">
        <f t="shared" si="2"/>
        <v>3.9345210884377313E+18</v>
      </c>
      <c r="AE14">
        <f t="shared" si="3"/>
        <v>18.594891877404987</v>
      </c>
      <c r="AF14">
        <v>0.13058067387720962</v>
      </c>
      <c r="AG14">
        <v>0.49010925109122672</v>
      </c>
      <c r="AH14">
        <v>1.3291590450939283</v>
      </c>
      <c r="AI14">
        <v>1.7859881410647992E-2</v>
      </c>
      <c r="AJ14">
        <v>0.39394122614449772</v>
      </c>
      <c r="AK14">
        <v>0.96719934252615347</v>
      </c>
    </row>
    <row r="15" spans="1:37" x14ac:dyDescent="0.2">
      <c r="A15">
        <v>292.22222222222217</v>
      </c>
      <c r="B15">
        <v>0.15</v>
      </c>
      <c r="C15">
        <v>0.52</v>
      </c>
      <c r="D15">
        <v>1.32</v>
      </c>
      <c r="E15">
        <v>0.01</v>
      </c>
      <c r="F15">
        <v>0.2</v>
      </c>
      <c r="G15">
        <v>0.21</v>
      </c>
      <c r="H15">
        <v>18.63144376901317</v>
      </c>
      <c r="I15">
        <v>10.659880712760589</v>
      </c>
      <c r="J15" t="s">
        <v>51</v>
      </c>
      <c r="K15">
        <v>-2.7777777777777781</v>
      </c>
      <c r="L15">
        <v>14</v>
      </c>
      <c r="M15" t="s">
        <v>41</v>
      </c>
      <c r="N15" t="s">
        <v>52</v>
      </c>
      <c r="O15" t="s">
        <v>53</v>
      </c>
      <c r="P15" t="s">
        <v>54</v>
      </c>
      <c r="Q15" t="s">
        <v>55</v>
      </c>
      <c r="R15" t="s">
        <v>56</v>
      </c>
      <c r="S15">
        <v>4.28E+18</v>
      </c>
      <c r="T15">
        <v>45696265889.061417</v>
      </c>
      <c r="V15" t="s">
        <v>46</v>
      </c>
      <c r="X15">
        <v>495</v>
      </c>
      <c r="Y15" t="s">
        <v>47</v>
      </c>
      <c r="Z15" t="s">
        <v>48</v>
      </c>
      <c r="AA15" s="5" t="s">
        <v>49</v>
      </c>
      <c r="AB15">
        <f t="shared" si="0"/>
        <v>93661920.000000015</v>
      </c>
      <c r="AC15">
        <f t="shared" si="1"/>
        <v>7.9715630562525801</v>
      </c>
      <c r="AD15">
        <f t="shared" si="2"/>
        <v>3.9345210884377313E+18</v>
      </c>
      <c r="AE15">
        <f t="shared" si="3"/>
        <v>18.594891877404987</v>
      </c>
      <c r="AF15">
        <v>0.13058067387720962</v>
      </c>
      <c r="AG15">
        <v>0.49010925109122672</v>
      </c>
      <c r="AH15">
        <v>1.3291590450939283</v>
      </c>
      <c r="AI15">
        <v>1.7859881410647992E-2</v>
      </c>
      <c r="AJ15">
        <v>0.39394122614449772</v>
      </c>
      <c r="AK15">
        <v>0.96719934252615347</v>
      </c>
    </row>
    <row r="16" spans="1:37" x14ac:dyDescent="0.2">
      <c r="A16">
        <v>291.11111111111109</v>
      </c>
      <c r="B16">
        <v>0.17</v>
      </c>
      <c r="C16">
        <v>0.64</v>
      </c>
      <c r="D16">
        <v>1.478</v>
      </c>
      <c r="E16">
        <v>1.0999999999999999E-2</v>
      </c>
      <c r="F16">
        <v>0.22500000000000001</v>
      </c>
      <c r="G16">
        <v>0.217</v>
      </c>
      <c r="H16">
        <v>17.86153441085904</v>
      </c>
      <c r="I16">
        <v>10.389599950323969</v>
      </c>
      <c r="J16" t="s">
        <v>57</v>
      </c>
      <c r="K16">
        <v>4.4444444444444446</v>
      </c>
      <c r="L16">
        <v>15</v>
      </c>
      <c r="M16" t="s">
        <v>41</v>
      </c>
      <c r="N16" t="s">
        <v>52</v>
      </c>
      <c r="O16" t="s">
        <v>58</v>
      </c>
      <c r="P16" t="s">
        <v>59</v>
      </c>
      <c r="Q16" t="s">
        <v>55</v>
      </c>
      <c r="R16" t="s">
        <v>56</v>
      </c>
      <c r="S16">
        <v>7.27E+17</v>
      </c>
      <c r="T16">
        <v>24524488055.528568</v>
      </c>
      <c r="V16" t="s">
        <v>46</v>
      </c>
      <c r="Y16" t="s">
        <v>48</v>
      </c>
      <c r="Z16" t="s">
        <v>48</v>
      </c>
      <c r="AA16" s="5" t="s">
        <v>49</v>
      </c>
      <c r="AB16">
        <f t="shared" si="0"/>
        <v>29643840</v>
      </c>
      <c r="AC16">
        <f t="shared" si="1"/>
        <v>7.471934460535067</v>
      </c>
      <c r="AD16">
        <f t="shared" si="2"/>
        <v>7.5690029018233062E+17</v>
      </c>
      <c r="AE16">
        <f t="shared" si="3"/>
        <v>17.879038671738176</v>
      </c>
      <c r="AF16">
        <v>0.14792487260358439</v>
      </c>
      <c r="AG16">
        <v>0.60294009716151331</v>
      </c>
      <c r="AH16">
        <v>1.4875860258197771</v>
      </c>
      <c r="AI16">
        <v>1.9637034001789185E-2</v>
      </c>
      <c r="AJ16">
        <v>0.44298456152125559</v>
      </c>
      <c r="AK16">
        <v>0.99898983192829116</v>
      </c>
    </row>
    <row r="17" spans="1:37" x14ac:dyDescent="0.2">
      <c r="A17">
        <v>292.22222222222217</v>
      </c>
      <c r="B17">
        <v>0.17</v>
      </c>
      <c r="C17">
        <v>0.64</v>
      </c>
      <c r="D17">
        <v>1.478</v>
      </c>
      <c r="E17">
        <v>1.0999999999999999E-2</v>
      </c>
      <c r="F17">
        <v>0.22500000000000001</v>
      </c>
      <c r="G17">
        <v>0.217</v>
      </c>
      <c r="H17">
        <v>19.012837224705169</v>
      </c>
      <c r="I17">
        <v>10.96625591238198</v>
      </c>
      <c r="J17" t="s">
        <v>57</v>
      </c>
      <c r="K17">
        <v>39.444444444444443</v>
      </c>
      <c r="L17">
        <v>16</v>
      </c>
      <c r="M17" t="s">
        <v>41</v>
      </c>
      <c r="N17" t="s">
        <v>52</v>
      </c>
      <c r="O17" t="s">
        <v>58</v>
      </c>
      <c r="P17" t="s">
        <v>59</v>
      </c>
      <c r="Q17" t="s">
        <v>55</v>
      </c>
      <c r="R17" t="s">
        <v>56</v>
      </c>
      <c r="S17">
        <v>1.03E+19</v>
      </c>
      <c r="T17">
        <v>92524322218.916504</v>
      </c>
      <c r="V17" t="s">
        <v>46</v>
      </c>
      <c r="Y17" t="s">
        <v>48</v>
      </c>
      <c r="Z17" t="s">
        <v>48</v>
      </c>
      <c r="AA17" s="5" t="s">
        <v>49</v>
      </c>
      <c r="AB17">
        <f t="shared" si="0"/>
        <v>111322080</v>
      </c>
      <c r="AC17">
        <f t="shared" si="1"/>
        <v>8.0465813123231911</v>
      </c>
      <c r="AD17">
        <f t="shared" si="2"/>
        <v>8.2226213807380009E+18</v>
      </c>
      <c r="AE17">
        <f t="shared" si="3"/>
        <v>18.91501029317271</v>
      </c>
      <c r="AF17">
        <v>0.14792487260358439</v>
      </c>
      <c r="AG17">
        <v>0.60294009716151331</v>
      </c>
      <c r="AH17">
        <v>1.4875860258197771</v>
      </c>
      <c r="AI17">
        <v>1.9637034001789185E-2</v>
      </c>
      <c r="AJ17">
        <v>0.44298456152125559</v>
      </c>
      <c r="AK17">
        <v>0.99898983192829116</v>
      </c>
    </row>
    <row r="18" spans="1:37" x14ac:dyDescent="0.2">
      <c r="A18">
        <v>292.22222222222217</v>
      </c>
      <c r="B18">
        <v>0.17</v>
      </c>
      <c r="C18">
        <v>0.64</v>
      </c>
      <c r="D18">
        <v>1.478</v>
      </c>
      <c r="E18">
        <v>1.0999999999999999E-2</v>
      </c>
      <c r="F18">
        <v>0.22500000000000001</v>
      </c>
      <c r="G18">
        <v>0.217</v>
      </c>
      <c r="H18">
        <v>19.16435285578444</v>
      </c>
      <c r="I18">
        <v>10.93719246682784</v>
      </c>
      <c r="J18" t="s">
        <v>57</v>
      </c>
      <c r="K18">
        <v>41.666666666666657</v>
      </c>
      <c r="L18">
        <v>17</v>
      </c>
      <c r="M18" t="s">
        <v>41</v>
      </c>
      <c r="N18" t="s">
        <v>52</v>
      </c>
      <c r="O18" t="s">
        <v>58</v>
      </c>
      <c r="P18" t="s">
        <v>59</v>
      </c>
      <c r="Q18" t="s">
        <v>55</v>
      </c>
      <c r="R18" t="s">
        <v>56</v>
      </c>
      <c r="S18">
        <v>1.46E+19</v>
      </c>
      <c r="T18">
        <v>86535133264.10524</v>
      </c>
      <c r="V18" t="s">
        <v>46</v>
      </c>
      <c r="Y18" t="s">
        <v>48</v>
      </c>
      <c r="Z18" t="s">
        <v>48</v>
      </c>
      <c r="AA18" s="5" t="s">
        <v>49</v>
      </c>
      <c r="AB18">
        <f t="shared" si="0"/>
        <v>168717599.99999997</v>
      </c>
      <c r="AC18">
        <f t="shared" si="1"/>
        <v>8.2271603889565963</v>
      </c>
      <c r="AD18">
        <f t="shared" si="2"/>
        <v>1.181241274080871E+19</v>
      </c>
      <c r="AE18">
        <f t="shared" si="3"/>
        <v>19.072338613362803</v>
      </c>
      <c r="AF18">
        <v>0.14792487260358439</v>
      </c>
      <c r="AG18">
        <v>0.60294009716151331</v>
      </c>
      <c r="AH18">
        <v>1.4875860258197771</v>
      </c>
      <c r="AI18">
        <v>1.9637034001789185E-2</v>
      </c>
      <c r="AJ18">
        <v>0.44298456152125559</v>
      </c>
      <c r="AK18">
        <v>0.99898983192829116</v>
      </c>
    </row>
    <row r="19" spans="1:37" x14ac:dyDescent="0.2">
      <c r="A19">
        <v>292.22222222222217</v>
      </c>
      <c r="B19">
        <v>0.17</v>
      </c>
      <c r="C19">
        <v>0.64</v>
      </c>
      <c r="D19">
        <v>1.478</v>
      </c>
      <c r="E19">
        <v>1.0999999999999999E-2</v>
      </c>
      <c r="F19">
        <v>0.22500000000000001</v>
      </c>
      <c r="G19">
        <v>0.217</v>
      </c>
      <c r="H19">
        <v>18.63144376901317</v>
      </c>
      <c r="I19">
        <v>10.659880712760589</v>
      </c>
      <c r="J19" t="s">
        <v>57</v>
      </c>
      <c r="K19">
        <v>27.777777777777779</v>
      </c>
      <c r="L19">
        <v>18</v>
      </c>
      <c r="M19" t="s">
        <v>41</v>
      </c>
      <c r="N19" t="s">
        <v>52</v>
      </c>
      <c r="O19" t="s">
        <v>58</v>
      </c>
      <c r="P19" t="s">
        <v>59</v>
      </c>
      <c r="Q19" t="s">
        <v>55</v>
      </c>
      <c r="R19" t="s">
        <v>56</v>
      </c>
      <c r="S19">
        <v>4.28E+18</v>
      </c>
      <c r="T19">
        <v>45696265889.061417</v>
      </c>
      <c r="V19" t="s">
        <v>46</v>
      </c>
      <c r="Y19" t="s">
        <v>48</v>
      </c>
      <c r="Z19" t="s">
        <v>48</v>
      </c>
      <c r="AA19" s="5" t="s">
        <v>49</v>
      </c>
      <c r="AB19">
        <f t="shared" si="0"/>
        <v>93661920.000000015</v>
      </c>
      <c r="AC19">
        <f t="shared" si="1"/>
        <v>7.9715630562525801</v>
      </c>
      <c r="AD19">
        <f t="shared" si="2"/>
        <v>3.9345210884377313E+18</v>
      </c>
      <c r="AE19">
        <f t="shared" si="3"/>
        <v>18.594891877404987</v>
      </c>
      <c r="AF19">
        <v>0.14792487260358439</v>
      </c>
      <c r="AG19">
        <v>0.60294009716151331</v>
      </c>
      <c r="AH19">
        <v>1.4875860258197771</v>
      </c>
      <c r="AI19">
        <v>1.9637034001789185E-2</v>
      </c>
      <c r="AJ19">
        <v>0.44298456152125559</v>
      </c>
      <c r="AK19">
        <v>0.99898983192829116</v>
      </c>
    </row>
    <row r="20" spans="1:37" x14ac:dyDescent="0.2">
      <c r="A20">
        <v>291.11111111111109</v>
      </c>
      <c r="B20">
        <v>0.27</v>
      </c>
      <c r="C20">
        <v>0.57999999999999996</v>
      </c>
      <c r="D20">
        <v>1.49</v>
      </c>
      <c r="E20">
        <v>1.6E-2</v>
      </c>
      <c r="F20">
        <v>0.51</v>
      </c>
      <c r="G20">
        <v>0.09</v>
      </c>
      <c r="H20">
        <v>17.86153441085904</v>
      </c>
      <c r="I20">
        <v>10.389599950323969</v>
      </c>
      <c r="J20" t="s">
        <v>3</v>
      </c>
      <c r="K20">
        <v>55.555555555555557</v>
      </c>
      <c r="L20">
        <v>19</v>
      </c>
      <c r="M20" t="s">
        <v>41</v>
      </c>
      <c r="N20" t="s">
        <v>52</v>
      </c>
      <c r="O20" t="s">
        <v>50</v>
      </c>
      <c r="P20" t="s">
        <v>60</v>
      </c>
      <c r="Q20" t="s">
        <v>55</v>
      </c>
      <c r="R20" t="s">
        <v>56</v>
      </c>
      <c r="S20">
        <v>7.27E+17</v>
      </c>
      <c r="T20">
        <v>24524488055.528568</v>
      </c>
      <c r="V20" t="s">
        <v>46</v>
      </c>
      <c r="X20">
        <v>466</v>
      </c>
      <c r="Y20" t="s">
        <v>47</v>
      </c>
      <c r="Z20" t="s">
        <v>48</v>
      </c>
      <c r="AA20" s="5" t="s">
        <v>49</v>
      </c>
      <c r="AB20">
        <f t="shared" si="0"/>
        <v>29643840</v>
      </c>
      <c r="AC20">
        <f t="shared" si="1"/>
        <v>7.471934460535067</v>
      </c>
      <c r="AD20">
        <f t="shared" si="2"/>
        <v>7.5690029018233062E+17</v>
      </c>
      <c r="AE20">
        <f t="shared" si="3"/>
        <v>17.879038671738176</v>
      </c>
      <c r="AF20">
        <v>0.23537479540008885</v>
      </c>
      <c r="AG20">
        <v>0.54742685032958982</v>
      </c>
      <c r="AH20">
        <v>1.5024424068111883</v>
      </c>
      <c r="AI20">
        <v>2.8615879504184483E-2</v>
      </c>
      <c r="AJ20">
        <v>1.0059587155041196</v>
      </c>
      <c r="AK20">
        <v>0.41509523904459933</v>
      </c>
    </row>
  </sheetData>
  <conditionalFormatting sqref="AA2:AA20">
    <cfRule type="containsErrors" dxfId="0" priority="1">
      <formula>ISERROR(AA2)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Ryan Jacobs</dc:creator>
  <cp:lastModifiedBy>Ryan Jacobs</cp:lastModifiedBy>
  <dcterms:created xsi:type="dcterms:W3CDTF">2026-06-02T16:21:17Z</dcterms:created>
  <dcterms:modified xsi:type="dcterms:W3CDTF">2026-06-02T16:23:07Z</dcterms:modified>
</cp:coreProperties>
</file>